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<sst xmlns="http://schemas.openxmlformats.org/spreadsheetml/2006/main" count="116" uniqueCount="70">
  <si>
    <t>№ этапа</t>
  </si>
  <si>
    <t>Этап</t>
  </si>
  <si>
    <t>Задание</t>
  </si>
  <si>
    <t>Дата начала</t>
  </si>
  <si>
    <t>Дата окончания</t>
  </si>
  <si>
    <t>Временные оценки</t>
  </si>
  <si>
    <t>Исполнитель</t>
  </si>
  <si>
    <t>Примечание</t>
  </si>
  <si>
    <t>Начальный этап</t>
  </si>
  <si>
    <t>Оформление документов</t>
  </si>
  <si>
    <t>Команда</t>
  </si>
  <si>
    <t>1. Разбить первую версию документа project charter на ТЗ, План разработки и Project charter</t>
  </si>
  <si>
    <t>Даниэль</t>
  </si>
  <si>
    <t>2. Выбрать инструменты разработки</t>
  </si>
  <si>
    <t>Дмитрий</t>
  </si>
  <si>
    <t>3. Написать ТЗ v1.0</t>
  </si>
  <si>
    <t>Дмитрий, Семен</t>
  </si>
  <si>
    <t>4. Составить План разработки v1.0</t>
  </si>
  <si>
    <t>5. Доработать док-нт Project charter v2.0</t>
  </si>
  <si>
    <t>Создание схемы БД</t>
  </si>
  <si>
    <t>С учетом ТЗ v1.0</t>
  </si>
  <si>
    <t>1. Создание схемы БД v1.0</t>
  </si>
  <si>
    <t>Создание макета</t>
  </si>
  <si>
    <t>1. Создать макет главной страницы</t>
  </si>
  <si>
    <t>Екатерина</t>
  </si>
  <si>
    <t>2. Создать макет формы регистрации</t>
  </si>
  <si>
    <t>3. Создать макет форм авторизации</t>
  </si>
  <si>
    <t>4. Создать макет формы с ошибкой</t>
  </si>
  <si>
    <t>5. Создать макет формы редактирования лекарств</t>
  </si>
  <si>
    <t>6. Создать макет формы назначения лекарств</t>
  </si>
  <si>
    <t>Верстка</t>
  </si>
  <si>
    <t>Реализация макета приложения</t>
  </si>
  <si>
    <t>1. Верстка главной страницы</t>
  </si>
  <si>
    <t>2. Реализация формы регистрации</t>
  </si>
  <si>
    <t>Семен</t>
  </si>
  <si>
    <t xml:space="preserve">3. Реализация форм авторизации </t>
  </si>
  <si>
    <t>4. Реализация формы с ошибкой</t>
  </si>
  <si>
    <t>5. Реализация формы редактирования лекарств</t>
  </si>
  <si>
    <t>6. Реализация формы назначения лекарств</t>
  </si>
  <si>
    <t>Добавление логики связи между страницами и формами</t>
  </si>
  <si>
    <t>1. Добавить вызов формы авторизации с главной страницы</t>
  </si>
  <si>
    <t>2. Добавить вызов формы регистрации с главной страницы</t>
  </si>
  <si>
    <t>3. Добавить вызов формы редактирования лекарств</t>
  </si>
  <si>
    <t>4. Тестирование логики связи</t>
  </si>
  <si>
    <t>Логика</t>
  </si>
  <si>
    <t>Добавление базовой логики программы</t>
  </si>
  <si>
    <t>1. Доработка багов</t>
  </si>
  <si>
    <t>2. Добавить возможность регистрации</t>
  </si>
  <si>
    <t>3. Добавить авторизацию</t>
  </si>
  <si>
    <t>4. Добавить логику добавления лекарств</t>
  </si>
  <si>
    <t>5. Добавить логику удаления лекарств</t>
  </si>
  <si>
    <t>6. Добавить логику редактирования лекарств</t>
  </si>
  <si>
    <t>7. Тестирование регистрации/авторизации</t>
  </si>
  <si>
    <t>Добавление логики назначения лекарств (основной функционал)</t>
  </si>
  <si>
    <t>2. Добавить возможность назначения лекарства</t>
  </si>
  <si>
    <t>3. Добавить возможность установить режим приема</t>
  </si>
  <si>
    <t>4. Добавить логику отправки уведомлений</t>
  </si>
  <si>
    <t>5. Тестирование логики работы с лекарствами</t>
  </si>
  <si>
    <t>Версия V1.0</t>
  </si>
  <si>
    <t>Последние доработки</t>
  </si>
  <si>
    <t>1. Тестирование интерфейса</t>
  </si>
  <si>
    <t>2. Тестирование общей работы приложения</t>
  </si>
  <si>
    <t>3. Доработки</t>
  </si>
  <si>
    <t>Дальнейшая разработка</t>
  </si>
  <si>
    <t>Дополнительный функционал</t>
  </si>
  <si>
    <t>1. Добавить информацию об оставшихся лекарствах</t>
  </si>
  <si>
    <t>2. Добавить информацию о принятых лекарствах (статистика)</t>
  </si>
  <si>
    <t>3. Присылать отчет о приеме лекарств за период (неделя, месяц)</t>
  </si>
  <si>
    <t xml:space="preserve">4. Тестирование </t>
  </si>
  <si>
    <t>5. Доработка багов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</si>
</sst>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"/>
    <numFmt numFmtId="165" formatCode="d.m.yy"/>
  </numFmts>
  <fonts count="8">
    <font>
      <sz val="10.0"/>
      <color rgb="FF000000"/>
      <name val="Arial"/>
    </font>
    <font>
      <color rgb="FFF6B26B"/>
      <name val="Arial"/>
    </font>
    <font>
      <color rgb="FFFFFFFF"/>
      <name val="Arial"/>
    </font>
    <font>
      <color theme="0"/>
      <name val="Arial"/>
    </font>
    <font>
      <sz val="14.0"/>
      <color theme="1"/>
      <name val="Arial"/>
    </font>
    <font>
      <sz val="18.0"/>
      <color theme="1"/>
      <name val="Arial"/>
    </font>
    <font>
      <color theme="1"/>
      <name val="Arial"/>
    </font>
    <font/>
  </fonts>
  <fills count="21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20124D"/>
        <bgColor rgb="FF20124D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2E442A"/>
        <bgColor rgb="FF2E442A"/>
      </patternFill>
    </fill>
    <fill>
      <patternFill patternType="solid">
        <fgColor theme="4"/>
        <bgColor theme="4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 vertical="center"/>
    </xf>
    <xf borderId="2" fillId="9" fontId="5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/>
    </xf>
    <xf borderId="1" fillId="5" fontId="3" numFmtId="164" xfId="0" applyAlignment="1" applyBorder="1" applyFont="1" applyNumberFormat="1">
      <alignment horizontal="center" readingOrder="0" vertical="center"/>
    </xf>
    <xf borderId="3" fillId="6" fontId="3" numFmtId="165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4" fillId="0" fontId="6" numFmtId="0" xfId="0" applyBorder="1" applyFont="1"/>
    <xf borderId="2" fillId="0" fontId="7" numFmtId="0" xfId="0" applyBorder="1" applyFont="1"/>
    <xf borderId="2" fillId="10" fontId="6" numFmtId="0" xfId="0" applyAlignment="1" applyBorder="1" applyFill="1" applyFont="1">
      <alignment readingOrder="0" shrinkToFit="0" wrapText="1"/>
    </xf>
    <xf borderId="2" fillId="11" fontId="6" numFmtId="164" xfId="0" applyAlignment="1" applyBorder="1" applyFill="1" applyFont="1" applyNumberFormat="1">
      <alignment horizontal="center" readingOrder="0" vertical="center"/>
    </xf>
    <xf borderId="2" fillId="12" fontId="6" numFmtId="164" xfId="0" applyAlignment="1" applyBorder="1" applyFill="1" applyFont="1" applyNumberFormat="1">
      <alignment horizontal="center" readingOrder="0" vertical="center"/>
    </xf>
    <xf borderId="2" fillId="13" fontId="6" numFmtId="0" xfId="0" applyAlignment="1" applyBorder="1" applyFill="1" applyFont="1">
      <alignment horizontal="center" readingOrder="0" vertical="center"/>
    </xf>
    <xf borderId="0" fillId="14" fontId="6" numFmtId="0" xfId="0" applyAlignment="1" applyFill="1" applyFont="1">
      <alignment horizontal="center" readingOrder="0" vertical="center"/>
    </xf>
    <xf borderId="5" fillId="0" fontId="6" numFmtId="0" xfId="0" applyBorder="1" applyFont="1"/>
    <xf borderId="2" fillId="10" fontId="6" numFmtId="0" xfId="0" applyAlignment="1" applyBorder="1" applyFont="1">
      <alignment readingOrder="0"/>
    </xf>
    <xf borderId="2" fillId="12" fontId="6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bottom"/>
    </xf>
    <xf borderId="2" fillId="11" fontId="6" numFmtId="165" xfId="0" applyAlignment="1" applyBorder="1" applyFont="1" applyNumberFormat="1">
      <alignment horizontal="center" readingOrder="0" vertical="center"/>
    </xf>
    <xf borderId="5" fillId="0" fontId="6" numFmtId="0" xfId="0" applyAlignment="1" applyBorder="1" applyFont="1">
      <alignment readingOrder="0"/>
    </xf>
    <xf borderId="1" fillId="5" fontId="3" numFmtId="165" xfId="0" applyAlignment="1" applyBorder="1" applyFont="1" applyNumberFormat="1">
      <alignment horizontal="center" readingOrder="0" vertical="center"/>
    </xf>
    <xf borderId="3" fillId="6" fontId="2" numFmtId="165" xfId="0" applyAlignment="1" applyBorder="1" applyFont="1" applyNumberFormat="1">
      <alignment horizontal="center" readingOrder="0" vertical="center"/>
    </xf>
    <xf borderId="6" fillId="0" fontId="6" numFmtId="0" xfId="0" applyBorder="1" applyFont="1"/>
    <xf borderId="7" fillId="15" fontId="6" numFmtId="0" xfId="0" applyBorder="1" applyFill="1" applyFont="1"/>
    <xf borderId="3" fillId="15" fontId="6" numFmtId="0" xfId="0" applyBorder="1" applyFont="1"/>
    <xf borderId="0" fillId="0" fontId="5" numFmtId="0" xfId="0" applyAlignment="1" applyFont="1">
      <alignment horizontal="center" readingOrder="0" vertical="center"/>
    </xf>
    <xf borderId="4" fillId="11" fontId="5" numFmtId="0" xfId="0" applyAlignment="1" applyBorder="1" applyFont="1">
      <alignment horizontal="center" readingOrder="0" vertical="center"/>
    </xf>
    <xf borderId="8" fillId="4" fontId="3" numFmtId="0" xfId="0" applyAlignment="1" applyBorder="1" applyFont="1">
      <alignment readingOrder="0"/>
    </xf>
    <xf borderId="1" fillId="5" fontId="3" numFmtId="165" xfId="0" applyAlignment="1" applyBorder="1" applyFont="1" applyNumberFormat="1">
      <alignment horizontal="center" readingOrder="0"/>
    </xf>
    <xf borderId="7" fillId="6" fontId="3" numFmtId="165" xfId="0" applyAlignment="1" applyBorder="1" applyFont="1" applyNumberFormat="1">
      <alignment horizontal="center" readingOrder="0"/>
    </xf>
    <xf borderId="1" fillId="7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readingOrder="0" vertical="center"/>
    </xf>
    <xf borderId="5" fillId="0" fontId="7" numFmtId="0" xfId="0" applyBorder="1" applyFont="1"/>
    <xf borderId="0" fillId="10" fontId="6" numFmtId="0" xfId="0" applyAlignment="1" applyFont="1">
      <alignment readingOrder="0"/>
    </xf>
    <xf borderId="5" fillId="11" fontId="6" numFmtId="165" xfId="0" applyAlignment="1" applyBorder="1" applyFont="1" applyNumberFormat="1">
      <alignment horizontal="center" readingOrder="0" vertical="center"/>
    </xf>
    <xf borderId="0" fillId="12" fontId="6" numFmtId="165" xfId="0" applyAlignment="1" applyFont="1" applyNumberFormat="1">
      <alignment horizontal="center" readingOrder="0" vertical="center"/>
    </xf>
    <xf borderId="5" fillId="13" fontId="6" numFmtId="0" xfId="0" applyAlignment="1" applyBorder="1" applyFont="1">
      <alignment horizontal="center" readingOrder="0" vertical="center"/>
    </xf>
    <xf borderId="5" fillId="11" fontId="6" numFmtId="165" xfId="0" applyAlignment="1" applyBorder="1" applyFont="1" applyNumberFormat="1">
      <alignment horizontal="center" readingOrder="0"/>
    </xf>
    <xf borderId="0" fillId="12" fontId="6" numFmtId="165" xfId="0" applyAlignment="1" applyFont="1" applyNumberFormat="1">
      <alignment horizontal="center" readingOrder="0"/>
    </xf>
    <xf borderId="5" fillId="13" fontId="6" numFmtId="0" xfId="0" applyAlignment="1" applyBorder="1" applyFont="1">
      <alignment horizontal="center" readingOrder="0"/>
    </xf>
    <xf borderId="0" fillId="14" fontId="6" numFmtId="0" xfId="0" applyAlignment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0" fillId="10" fontId="6" numFmtId="0" xfId="0" applyAlignment="1" applyFont="1">
      <alignment readingOrder="0" shrinkToFit="0" wrapText="1"/>
    </xf>
    <xf borderId="6" fillId="0" fontId="7" numFmtId="0" xfId="0" applyBorder="1" applyFont="1"/>
    <xf borderId="6" fillId="11" fontId="6" numFmtId="165" xfId="0" applyAlignment="1" applyBorder="1" applyFont="1" applyNumberFormat="1">
      <alignment horizontal="center" readingOrder="0"/>
    </xf>
    <xf borderId="6" fillId="13" fontId="6" numFmtId="0" xfId="0" applyAlignment="1" applyBorder="1" applyFont="1">
      <alignment horizontal="center" readingOrder="0"/>
    </xf>
    <xf borderId="8" fillId="16" fontId="6" numFmtId="0" xfId="0" applyBorder="1" applyFill="1" applyFont="1"/>
    <xf borderId="7" fillId="16" fontId="6" numFmtId="0" xfId="0" applyBorder="1" applyFont="1"/>
    <xf borderId="7" fillId="16" fontId="6" numFmtId="0" xfId="0" applyAlignment="1" applyBorder="1" applyFont="1">
      <alignment readingOrder="0"/>
    </xf>
    <xf borderId="7" fillId="16" fontId="6" numFmtId="165" xfId="0" applyAlignment="1" applyBorder="1" applyFont="1" applyNumberFormat="1">
      <alignment readingOrder="0"/>
    </xf>
    <xf borderId="3" fillId="16" fontId="6" numFmtId="0" xfId="0" applyBorder="1" applyFont="1"/>
    <xf borderId="4" fillId="0" fontId="5" numFmtId="0" xfId="0" applyAlignment="1" applyBorder="1" applyFont="1">
      <alignment horizontal="center" readingOrder="0" vertical="center"/>
    </xf>
    <xf borderId="4" fillId="17" fontId="5" numFmtId="0" xfId="0" applyAlignment="1" applyBorder="1" applyFill="1" applyFont="1">
      <alignment horizontal="center" readingOrder="0" vertical="center"/>
    </xf>
    <xf borderId="1" fillId="6" fontId="3" numFmtId="165" xfId="0" applyAlignment="1" applyBorder="1" applyFont="1" applyNumberFormat="1">
      <alignment horizontal="center" readingOrder="0"/>
    </xf>
    <xf borderId="5" fillId="10" fontId="6" numFmtId="0" xfId="0" applyAlignment="1" applyBorder="1" applyFont="1">
      <alignment readingOrder="0"/>
    </xf>
    <xf borderId="4" fillId="11" fontId="6" numFmtId="165" xfId="0" applyAlignment="1" applyBorder="1" applyFont="1" applyNumberFormat="1">
      <alignment horizontal="center" readingOrder="0"/>
    </xf>
    <xf borderId="4" fillId="12" fontId="6" numFmtId="165" xfId="0" applyAlignment="1" applyBorder="1" applyFont="1" applyNumberFormat="1">
      <alignment horizontal="center" readingOrder="0"/>
    </xf>
    <xf borderId="4" fillId="13" fontId="6" numFmtId="0" xfId="0" applyAlignment="1" applyBorder="1" applyFont="1">
      <alignment horizontal="center" readingOrder="0"/>
    </xf>
    <xf borderId="4" fillId="14" fontId="6" numFmtId="0" xfId="0" applyAlignment="1" applyBorder="1" applyFont="1">
      <alignment horizontal="center" readingOrder="0"/>
    </xf>
    <xf borderId="5" fillId="12" fontId="6" numFmtId="165" xfId="0" applyAlignment="1" applyBorder="1" applyFont="1" applyNumberFormat="1">
      <alignment horizontal="center" readingOrder="0"/>
    </xf>
    <xf borderId="5" fillId="14" fontId="6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5" fillId="10" fontId="6" numFmtId="0" xfId="0" applyAlignment="1" applyBorder="1" applyFont="1">
      <alignment readingOrder="0" shrinkToFit="0" wrapText="1"/>
    </xf>
    <xf borderId="6" fillId="10" fontId="6" numFmtId="0" xfId="0" applyAlignment="1" applyBorder="1" applyFont="1">
      <alignment readingOrder="0"/>
    </xf>
    <xf borderId="6" fillId="12" fontId="6" numFmtId="165" xfId="0" applyAlignment="1" applyBorder="1" applyFont="1" applyNumberFormat="1">
      <alignment horizontal="center" readingOrder="0"/>
    </xf>
    <xf borderId="6" fillId="14" fontId="6" numFmtId="0" xfId="0" applyAlignment="1" applyBorder="1" applyFont="1">
      <alignment horizontal="center" readingOrder="0"/>
    </xf>
    <xf borderId="8" fillId="18" fontId="6" numFmtId="0" xfId="0" applyBorder="1" applyFill="1" applyFont="1"/>
    <xf borderId="7" fillId="18" fontId="6" numFmtId="0" xfId="0" applyBorder="1" applyFont="1"/>
    <xf borderId="3" fillId="18" fontId="6" numFmtId="0" xfId="0" applyBorder="1" applyFont="1"/>
    <xf borderId="4" fillId="5" fontId="5" numFmtId="0" xfId="0" applyAlignment="1" applyBorder="1" applyFont="1">
      <alignment horizontal="center" readingOrder="0" vertical="center"/>
    </xf>
    <xf borderId="4" fillId="10" fontId="6" numFmtId="0" xfId="0" applyAlignment="1" applyBorder="1" applyFont="1">
      <alignment readingOrder="0"/>
    </xf>
    <xf borderId="1" fillId="18" fontId="5" numFmtId="0" xfId="0" applyAlignment="1" applyBorder="1" applyFont="1">
      <alignment horizontal="center" readingOrder="0" vertical="center"/>
    </xf>
    <xf borderId="1" fillId="18" fontId="5" numFmtId="0" xfId="0" applyAlignment="1" applyBorder="1" applyFont="1">
      <alignment horizontal="center" readingOrder="0" shrinkToFit="0" vertical="center" wrapText="1"/>
    </xf>
    <xf borderId="6" fillId="18" fontId="3" numFmtId="0" xfId="0" applyAlignment="1" applyBorder="1" applyFont="1">
      <alignment readingOrder="0"/>
    </xf>
    <xf borderId="6" fillId="18" fontId="3" numFmtId="165" xfId="0" applyAlignment="1" applyBorder="1" applyFont="1" applyNumberFormat="1">
      <alignment horizontal="center" readingOrder="0"/>
    </xf>
    <xf borderId="6" fillId="18" fontId="3" numFmtId="0" xfId="0" applyAlignment="1" applyBorder="1" applyFont="1">
      <alignment horizontal="center"/>
    </xf>
    <xf borderId="6" fillId="18" fontId="3" numFmtId="0" xfId="0" applyAlignment="1" applyBorder="1" applyFont="1">
      <alignment horizontal="center" readingOrder="0"/>
    </xf>
    <xf borderId="5" fillId="18" fontId="6" numFmtId="0" xfId="0" applyBorder="1" applyFont="1"/>
    <xf borderId="4" fillId="19" fontId="5" numFmtId="0" xfId="0" applyAlignment="1" applyBorder="1" applyFill="1" applyFont="1">
      <alignment horizontal="center" readingOrder="0" shrinkToFit="0" vertical="center" wrapText="1"/>
    </xf>
    <xf borderId="8" fillId="20" fontId="6" numFmtId="0" xfId="0" applyBorder="1" applyFill="1" applyFont="1"/>
    <xf borderId="7" fillId="20" fontId="6" numFmtId="0" xfId="0" applyBorder="1" applyFont="1"/>
    <xf borderId="3" fillId="2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28.71"/>
    <col customWidth="1" min="3" max="3" width="59.86"/>
    <col customWidth="1" min="5" max="5" width="15.14"/>
    <col customWidth="1" min="6" max="6" width="18.14"/>
    <col customWidth="1" min="7" max="7" width="19.0"/>
    <col customWidth="1" min="8" max="8" width="16.14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2" t="s">
        <v>6</v>
      </c>
      <c r="H1" s="7" t="s">
        <v>7</v>
      </c>
    </row>
    <row r="2">
      <c r="A2" s="8">
        <v>1.0</v>
      </c>
      <c r="B2" s="9" t="s">
        <v>8</v>
      </c>
      <c r="C2" s="10" t="s">
        <v>9</v>
      </c>
      <c r="D2" s="11">
        <v>44508.0</v>
      </c>
      <c r="E2" s="12">
        <v>44515.0</v>
      </c>
      <c r="F2" s="13">
        <f>SUM(F3:F7)</f>
        <v>12</v>
      </c>
      <c r="G2" s="14" t="s">
        <v>10</v>
      </c>
      <c r="H2" s="15"/>
    </row>
    <row r="3">
      <c r="A3" s="16"/>
      <c r="B3" s="16"/>
      <c r="C3" s="17" t="s">
        <v>11</v>
      </c>
      <c r="D3" s="18">
        <v>44508.0</v>
      </c>
      <c r="E3" s="19">
        <v>44509.0</v>
      </c>
      <c r="F3" s="20">
        <v>2.0</v>
      </c>
      <c r="G3" s="21" t="s">
        <v>12</v>
      </c>
      <c r="H3" s="22"/>
    </row>
    <row r="4">
      <c r="A4" s="16"/>
      <c r="B4" s="16"/>
      <c r="C4" s="23" t="s">
        <v>13</v>
      </c>
      <c r="D4" s="18">
        <v>44508.0</v>
      </c>
      <c r="E4" s="24">
        <v>44511.0</v>
      </c>
      <c r="F4" s="20">
        <v>1.0</v>
      </c>
      <c r="G4" s="21" t="s">
        <v>14</v>
      </c>
      <c r="H4" s="22"/>
      <c r="J4" s="25"/>
    </row>
    <row r="5">
      <c r="A5" s="16"/>
      <c r="B5" s="16"/>
      <c r="C5" s="23" t="s">
        <v>15</v>
      </c>
      <c r="D5" s="26">
        <v>44508.0</v>
      </c>
      <c r="E5" s="24">
        <v>44512.0</v>
      </c>
      <c r="F5" s="20">
        <v>4.0</v>
      </c>
      <c r="G5" s="21" t="s">
        <v>16</v>
      </c>
      <c r="H5" s="22"/>
    </row>
    <row r="6">
      <c r="A6" s="16"/>
      <c r="B6" s="16"/>
      <c r="C6" s="23" t="s">
        <v>17</v>
      </c>
      <c r="D6" s="26">
        <v>44508.0</v>
      </c>
      <c r="E6" s="24">
        <v>44508.0</v>
      </c>
      <c r="F6" s="20">
        <v>2.0</v>
      </c>
      <c r="G6" s="21" t="s">
        <v>12</v>
      </c>
      <c r="H6" s="22"/>
    </row>
    <row r="7">
      <c r="A7" s="16"/>
      <c r="B7" s="16"/>
      <c r="C7" s="23" t="s">
        <v>18</v>
      </c>
      <c r="D7" s="26">
        <v>44508.0</v>
      </c>
      <c r="E7" s="24">
        <v>44514.0</v>
      </c>
      <c r="F7" s="20">
        <v>3.0</v>
      </c>
      <c r="G7" s="21" t="s">
        <v>12</v>
      </c>
      <c r="H7" s="22"/>
    </row>
    <row r="8">
      <c r="A8" s="16"/>
      <c r="B8" s="16"/>
      <c r="C8" s="10" t="s">
        <v>19</v>
      </c>
      <c r="D8" s="11">
        <v>44508.0</v>
      </c>
      <c r="E8" s="12">
        <v>44515.0</v>
      </c>
      <c r="F8" s="13">
        <f>SUM(F9)</f>
        <v>4</v>
      </c>
      <c r="G8" s="14" t="s">
        <v>10</v>
      </c>
      <c r="H8" s="27" t="s">
        <v>20</v>
      </c>
    </row>
    <row r="9">
      <c r="A9" s="16"/>
      <c r="B9" s="16"/>
      <c r="C9" s="23" t="s">
        <v>21</v>
      </c>
      <c r="D9" s="26">
        <v>44512.0</v>
      </c>
      <c r="E9" s="24">
        <v>44514.0</v>
      </c>
      <c r="F9" s="20">
        <v>4.0</v>
      </c>
      <c r="G9" s="21" t="s">
        <v>14</v>
      </c>
      <c r="H9" s="22"/>
    </row>
    <row r="10">
      <c r="A10" s="16"/>
      <c r="B10" s="16"/>
      <c r="C10" s="10" t="s">
        <v>22</v>
      </c>
      <c r="D10" s="28">
        <v>44515.0</v>
      </c>
      <c r="E10" s="29">
        <v>44521.0</v>
      </c>
      <c r="F10" s="13">
        <f>SUM(F11:F16)</f>
        <v>14</v>
      </c>
      <c r="G10" s="14" t="s">
        <v>10</v>
      </c>
      <c r="H10" s="22"/>
    </row>
    <row r="11">
      <c r="A11" s="16"/>
      <c r="B11" s="16"/>
      <c r="C11" s="23" t="s">
        <v>23</v>
      </c>
      <c r="D11" s="26">
        <v>44515.0</v>
      </c>
      <c r="E11" s="24">
        <v>44517.0</v>
      </c>
      <c r="F11" s="20">
        <v>4.0</v>
      </c>
      <c r="G11" s="21" t="s">
        <v>24</v>
      </c>
      <c r="H11" s="22"/>
    </row>
    <row r="12">
      <c r="A12" s="16"/>
      <c r="B12" s="16"/>
      <c r="C12" s="23" t="s">
        <v>25</v>
      </c>
      <c r="D12" s="26">
        <v>44517.0</v>
      </c>
      <c r="E12" s="24">
        <v>44518.0</v>
      </c>
      <c r="F12" s="20">
        <v>1.0</v>
      </c>
      <c r="G12" s="21" t="s">
        <v>24</v>
      </c>
      <c r="H12" s="22"/>
    </row>
    <row r="13">
      <c r="A13" s="16"/>
      <c r="B13" s="16"/>
      <c r="C13" s="23" t="s">
        <v>26</v>
      </c>
      <c r="D13" s="26">
        <v>44517.0</v>
      </c>
      <c r="E13" s="24">
        <v>44518.0</v>
      </c>
      <c r="F13" s="20">
        <v>1.0</v>
      </c>
      <c r="G13" s="21" t="s">
        <v>24</v>
      </c>
      <c r="H13" s="22"/>
    </row>
    <row r="14">
      <c r="A14" s="16"/>
      <c r="B14" s="16"/>
      <c r="C14" s="23" t="s">
        <v>27</v>
      </c>
      <c r="D14" s="26">
        <v>44517.0</v>
      </c>
      <c r="E14" s="24">
        <v>44518.0</v>
      </c>
      <c r="F14" s="20">
        <v>1.0</v>
      </c>
      <c r="G14" s="21" t="s">
        <v>12</v>
      </c>
      <c r="H14" s="22"/>
    </row>
    <row r="15">
      <c r="A15" s="16"/>
      <c r="B15" s="16"/>
      <c r="C15" s="23" t="s">
        <v>28</v>
      </c>
      <c r="D15" s="26">
        <v>44518.0</v>
      </c>
      <c r="E15" s="24">
        <v>44519.0</v>
      </c>
      <c r="F15" s="20">
        <v>3.0</v>
      </c>
      <c r="G15" s="21" t="s">
        <v>24</v>
      </c>
      <c r="H15" s="22"/>
    </row>
    <row r="16">
      <c r="A16" s="16"/>
      <c r="B16" s="16"/>
      <c r="C16" s="23" t="s">
        <v>29</v>
      </c>
      <c r="D16" s="26">
        <v>44518.0</v>
      </c>
      <c r="E16" s="24">
        <v>44521.0</v>
      </c>
      <c r="F16" s="20">
        <v>4.0</v>
      </c>
      <c r="G16" s="21" t="s">
        <v>12</v>
      </c>
      <c r="H16" s="30"/>
    </row>
    <row r="17" ht="6.0" customHeight="1">
      <c r="A17" s="31"/>
      <c r="B17" s="31"/>
      <c r="C17" s="31"/>
      <c r="D17" s="31"/>
      <c r="E17" s="31"/>
      <c r="F17" s="31"/>
      <c r="G17" s="31"/>
      <c r="H17" s="32"/>
    </row>
    <row r="18">
      <c r="A18" s="33">
        <v>2.0</v>
      </c>
      <c r="B18" s="34" t="s">
        <v>30</v>
      </c>
      <c r="C18" s="35" t="s">
        <v>31</v>
      </c>
      <c r="D18" s="36">
        <v>44518.0</v>
      </c>
      <c r="E18" s="37">
        <v>44522.0</v>
      </c>
      <c r="F18" s="38">
        <f>SUM(F19:F24)</f>
        <v>21</v>
      </c>
      <c r="G18" s="39" t="s">
        <v>10</v>
      </c>
      <c r="H18" s="15"/>
    </row>
    <row r="19">
      <c r="B19" s="40"/>
      <c r="C19" s="41" t="s">
        <v>32</v>
      </c>
      <c r="D19" s="42">
        <v>44518.0</v>
      </c>
      <c r="E19" s="43">
        <v>44520.0</v>
      </c>
      <c r="F19" s="44">
        <v>8.0</v>
      </c>
      <c r="G19" s="21" t="s">
        <v>14</v>
      </c>
      <c r="H19" s="22"/>
    </row>
    <row r="20">
      <c r="B20" s="40"/>
      <c r="C20" s="41" t="s">
        <v>33</v>
      </c>
      <c r="D20" s="42">
        <v>44518.0</v>
      </c>
      <c r="E20" s="43">
        <v>44519.0</v>
      </c>
      <c r="F20" s="44">
        <v>2.0</v>
      </c>
      <c r="G20" s="21" t="s">
        <v>34</v>
      </c>
      <c r="H20" s="22"/>
    </row>
    <row r="21">
      <c r="B21" s="40"/>
      <c r="C21" s="41" t="s">
        <v>35</v>
      </c>
      <c r="D21" s="42">
        <v>44518.0</v>
      </c>
      <c r="E21" s="43">
        <v>44519.0</v>
      </c>
      <c r="F21" s="44">
        <v>2.0</v>
      </c>
      <c r="G21" s="21" t="s">
        <v>34</v>
      </c>
      <c r="H21" s="22"/>
    </row>
    <row r="22">
      <c r="B22" s="40"/>
      <c r="C22" s="41" t="s">
        <v>36</v>
      </c>
      <c r="D22" s="42">
        <v>44520.0</v>
      </c>
      <c r="E22" s="43">
        <v>44521.0</v>
      </c>
      <c r="F22" s="44">
        <v>1.0</v>
      </c>
      <c r="G22" s="21" t="s">
        <v>14</v>
      </c>
      <c r="H22" s="22"/>
    </row>
    <row r="23">
      <c r="B23" s="40"/>
      <c r="C23" s="41" t="s">
        <v>37</v>
      </c>
      <c r="D23" s="42">
        <v>44519.0</v>
      </c>
      <c r="E23" s="43">
        <v>44521.0</v>
      </c>
      <c r="F23" s="44">
        <v>4.0</v>
      </c>
      <c r="G23" s="21" t="s">
        <v>34</v>
      </c>
      <c r="H23" s="22"/>
    </row>
    <row r="24">
      <c r="B24" s="40"/>
      <c r="C24" s="41" t="s">
        <v>38</v>
      </c>
      <c r="D24" s="45">
        <v>44522.0</v>
      </c>
      <c r="E24" s="46">
        <v>44523.0</v>
      </c>
      <c r="F24" s="47">
        <v>4.0</v>
      </c>
      <c r="G24" s="48" t="s">
        <v>34</v>
      </c>
      <c r="H24" s="22"/>
    </row>
    <row r="25">
      <c r="B25" s="40"/>
      <c r="C25" s="35" t="s">
        <v>39</v>
      </c>
      <c r="D25" s="36">
        <v>44521.0</v>
      </c>
      <c r="E25" s="37">
        <v>44523.0</v>
      </c>
      <c r="F25" s="38">
        <f>SUM(F26:F29)</f>
        <v>4</v>
      </c>
      <c r="G25" s="49" t="s">
        <v>10</v>
      </c>
      <c r="H25" s="22"/>
    </row>
    <row r="26">
      <c r="B26" s="40"/>
      <c r="C26" s="50" t="s">
        <v>40</v>
      </c>
      <c r="D26" s="45">
        <v>44521.0</v>
      </c>
      <c r="E26" s="46">
        <v>44522.0</v>
      </c>
      <c r="F26" s="47">
        <v>1.0</v>
      </c>
      <c r="G26" s="48" t="s">
        <v>14</v>
      </c>
      <c r="H26" s="22"/>
    </row>
    <row r="27">
      <c r="B27" s="40"/>
      <c r="C27" s="41" t="s">
        <v>41</v>
      </c>
      <c r="D27" s="45">
        <v>44521.0</v>
      </c>
      <c r="E27" s="46">
        <v>44522.0</v>
      </c>
      <c r="F27" s="47">
        <v>1.0</v>
      </c>
      <c r="G27" s="48" t="s">
        <v>14</v>
      </c>
      <c r="H27" s="22"/>
    </row>
    <row r="28">
      <c r="B28" s="40"/>
      <c r="C28" s="41" t="s">
        <v>42</v>
      </c>
      <c r="D28" s="45">
        <v>44521.0</v>
      </c>
      <c r="E28" s="46">
        <v>44887.0</v>
      </c>
      <c r="F28" s="47">
        <v>1.0</v>
      </c>
      <c r="G28" s="48" t="s">
        <v>14</v>
      </c>
      <c r="H28" s="22"/>
    </row>
    <row r="29">
      <c r="B29" s="51"/>
      <c r="C29" s="41" t="s">
        <v>43</v>
      </c>
      <c r="D29" s="52">
        <v>44522.0</v>
      </c>
      <c r="E29" s="46">
        <v>44523.0</v>
      </c>
      <c r="F29" s="53">
        <v>1.0</v>
      </c>
      <c r="G29" s="48" t="s">
        <v>24</v>
      </c>
      <c r="H29" s="30"/>
    </row>
    <row r="30" ht="7.5" customHeight="1">
      <c r="A30" s="54"/>
      <c r="B30" s="55"/>
      <c r="C30" s="56"/>
      <c r="D30" s="57"/>
      <c r="E30" s="57"/>
      <c r="F30" s="55"/>
      <c r="G30" s="56"/>
      <c r="H30" s="58"/>
    </row>
    <row r="31">
      <c r="A31" s="59">
        <v>3.0</v>
      </c>
      <c r="B31" s="60" t="s">
        <v>44</v>
      </c>
      <c r="C31" s="10" t="s">
        <v>45</v>
      </c>
      <c r="D31" s="36">
        <v>44522.0</v>
      </c>
      <c r="E31" s="61">
        <v>44526.0</v>
      </c>
      <c r="F31" s="38">
        <f>SUM(F32:F38)</f>
        <v>20</v>
      </c>
      <c r="G31" s="49" t="s">
        <v>10</v>
      </c>
      <c r="H31" s="15"/>
    </row>
    <row r="32">
      <c r="A32" s="40"/>
      <c r="B32" s="40"/>
      <c r="C32" s="62" t="s">
        <v>46</v>
      </c>
      <c r="D32" s="63">
        <v>44522.0</v>
      </c>
      <c r="E32" s="64">
        <v>44523.0</v>
      </c>
      <c r="F32" s="65">
        <v>2.0</v>
      </c>
      <c r="G32" s="66" t="s">
        <v>34</v>
      </c>
      <c r="H32" s="22"/>
    </row>
    <row r="33">
      <c r="A33" s="40"/>
      <c r="B33" s="40"/>
      <c r="C33" s="62" t="s">
        <v>47</v>
      </c>
      <c r="D33" s="45">
        <v>44522.0</v>
      </c>
      <c r="E33" s="67">
        <v>44524.0</v>
      </c>
      <c r="F33" s="47">
        <v>4.0</v>
      </c>
      <c r="G33" s="68" t="s">
        <v>14</v>
      </c>
      <c r="H33" s="22"/>
    </row>
    <row r="34">
      <c r="A34" s="40"/>
      <c r="B34" s="40"/>
      <c r="C34" s="62" t="s">
        <v>48</v>
      </c>
      <c r="D34" s="45">
        <v>44523.0</v>
      </c>
      <c r="E34" s="67">
        <v>44525.0</v>
      </c>
      <c r="F34" s="47">
        <v>4.0</v>
      </c>
      <c r="G34" s="68" t="s">
        <v>34</v>
      </c>
      <c r="H34" s="22"/>
    </row>
    <row r="35">
      <c r="A35" s="40"/>
      <c r="B35" s="40"/>
      <c r="C35" s="62" t="s">
        <v>49</v>
      </c>
      <c r="D35" s="45">
        <v>44524.0</v>
      </c>
      <c r="E35" s="67">
        <v>44525.0</v>
      </c>
      <c r="F35" s="47">
        <v>2.0</v>
      </c>
      <c r="G35" s="68" t="s">
        <v>14</v>
      </c>
      <c r="H35" s="22"/>
    </row>
    <row r="36">
      <c r="A36" s="40"/>
      <c r="B36" s="40"/>
      <c r="C36" s="62" t="s">
        <v>50</v>
      </c>
      <c r="D36" s="45">
        <v>44524.0</v>
      </c>
      <c r="E36" s="67">
        <v>44525.0</v>
      </c>
      <c r="F36" s="47">
        <v>2.0</v>
      </c>
      <c r="G36" s="68" t="s">
        <v>14</v>
      </c>
      <c r="H36" s="22"/>
    </row>
    <row r="37">
      <c r="A37" s="40"/>
      <c r="B37" s="40"/>
      <c r="C37" s="62" t="s">
        <v>51</v>
      </c>
      <c r="D37" s="45">
        <v>44524.0</v>
      </c>
      <c r="E37" s="67">
        <v>44525.0</v>
      </c>
      <c r="F37" s="47">
        <v>2.0</v>
      </c>
      <c r="G37" s="68" t="s">
        <v>14</v>
      </c>
      <c r="H37" s="22"/>
    </row>
    <row r="38">
      <c r="A38" s="40"/>
      <c r="B38" s="40"/>
      <c r="C38" s="62" t="s">
        <v>52</v>
      </c>
      <c r="D38" s="45">
        <v>44524.0</v>
      </c>
      <c r="E38" s="67">
        <v>44526.0</v>
      </c>
      <c r="F38" s="47">
        <v>4.0</v>
      </c>
      <c r="G38" s="68" t="s">
        <v>24</v>
      </c>
      <c r="H38" s="22"/>
    </row>
    <row r="39">
      <c r="A39" s="40"/>
      <c r="B39" s="40"/>
      <c r="C39" s="10" t="s">
        <v>53</v>
      </c>
      <c r="D39" s="36">
        <v>44525.0</v>
      </c>
      <c r="E39" s="61">
        <v>44529.0</v>
      </c>
      <c r="F39" s="38">
        <f>SUM(F40:F44)</f>
        <v>18</v>
      </c>
      <c r="G39" s="69" t="s">
        <v>10</v>
      </c>
      <c r="H39" s="22"/>
    </row>
    <row r="40">
      <c r="A40" s="40"/>
      <c r="B40" s="40"/>
      <c r="C40" s="70" t="s">
        <v>46</v>
      </c>
      <c r="D40" s="45">
        <v>44525.0</v>
      </c>
      <c r="E40" s="67">
        <v>44526.0</v>
      </c>
      <c r="F40" s="47">
        <v>2.0</v>
      </c>
      <c r="G40" s="68" t="s">
        <v>14</v>
      </c>
      <c r="H40" s="22"/>
    </row>
    <row r="41">
      <c r="A41" s="40"/>
      <c r="B41" s="40"/>
      <c r="C41" s="70" t="s">
        <v>54</v>
      </c>
      <c r="D41" s="45">
        <v>44525.0</v>
      </c>
      <c r="E41" s="67">
        <v>44527.0</v>
      </c>
      <c r="F41" s="47">
        <v>4.0</v>
      </c>
      <c r="G41" s="68" t="s">
        <v>14</v>
      </c>
      <c r="H41" s="22"/>
    </row>
    <row r="42">
      <c r="A42" s="40"/>
      <c r="B42" s="40"/>
      <c r="C42" s="62" t="s">
        <v>55</v>
      </c>
      <c r="D42" s="45">
        <v>44525.0</v>
      </c>
      <c r="E42" s="67">
        <v>44527.0</v>
      </c>
      <c r="F42" s="47">
        <v>4.0</v>
      </c>
      <c r="G42" s="68" t="s">
        <v>34</v>
      </c>
      <c r="H42" s="22"/>
    </row>
    <row r="43">
      <c r="A43" s="40"/>
      <c r="B43" s="40"/>
      <c r="C43" s="62" t="s">
        <v>56</v>
      </c>
      <c r="D43" s="45">
        <v>44527.0</v>
      </c>
      <c r="E43" s="67">
        <v>44528.0</v>
      </c>
      <c r="F43" s="47">
        <v>4.0</v>
      </c>
      <c r="G43" s="68" t="s">
        <v>34</v>
      </c>
      <c r="H43" s="22"/>
    </row>
    <row r="44">
      <c r="A44" s="51"/>
      <c r="B44" s="51"/>
      <c r="C44" s="71" t="s">
        <v>57</v>
      </c>
      <c r="D44" s="52">
        <v>44528.0</v>
      </c>
      <c r="E44" s="72">
        <v>44529.0</v>
      </c>
      <c r="F44" s="53">
        <v>4.0</v>
      </c>
      <c r="G44" s="73" t="s">
        <v>24</v>
      </c>
      <c r="H44" s="30"/>
    </row>
    <row r="45" ht="7.5" customHeight="1">
      <c r="A45" s="74"/>
      <c r="B45" s="75"/>
      <c r="C45" s="75"/>
      <c r="D45" s="75"/>
      <c r="E45" s="75"/>
      <c r="F45" s="75"/>
      <c r="G45" s="75"/>
      <c r="H45" s="76"/>
    </row>
    <row r="46">
      <c r="A46" s="59">
        <v>4.0</v>
      </c>
      <c r="B46" s="77" t="s">
        <v>58</v>
      </c>
      <c r="C46" s="10" t="s">
        <v>59</v>
      </c>
      <c r="D46" s="36">
        <v>44530.0</v>
      </c>
      <c r="E46" s="61">
        <v>44535.0</v>
      </c>
      <c r="F46" s="38">
        <f>SUM(F47:F49)</f>
        <v>16</v>
      </c>
      <c r="G46" s="69" t="s">
        <v>10</v>
      </c>
      <c r="H46" s="15"/>
    </row>
    <row r="47">
      <c r="A47" s="40"/>
      <c r="B47" s="40"/>
      <c r="C47" s="78" t="s">
        <v>60</v>
      </c>
      <c r="D47" s="63">
        <v>44530.0</v>
      </c>
      <c r="E47" s="64">
        <v>44532.0</v>
      </c>
      <c r="F47" s="65">
        <v>4.0</v>
      </c>
      <c r="G47" s="66" t="s">
        <v>24</v>
      </c>
      <c r="H47" s="22"/>
    </row>
    <row r="48">
      <c r="A48" s="40"/>
      <c r="B48" s="40"/>
      <c r="C48" s="62" t="s">
        <v>61</v>
      </c>
      <c r="D48" s="45">
        <v>44532.0</v>
      </c>
      <c r="E48" s="67">
        <v>44534.0</v>
      </c>
      <c r="F48" s="47">
        <v>8.0</v>
      </c>
      <c r="G48" s="68" t="s">
        <v>24</v>
      </c>
      <c r="H48" s="22"/>
    </row>
    <row r="49">
      <c r="A49" s="51"/>
      <c r="B49" s="51"/>
      <c r="C49" s="71" t="s">
        <v>62</v>
      </c>
      <c r="D49" s="52">
        <v>44534.0</v>
      </c>
      <c r="E49" s="72">
        <v>44535.0</v>
      </c>
      <c r="F49" s="53">
        <v>4.0</v>
      </c>
      <c r="G49" s="73" t="s">
        <v>16</v>
      </c>
      <c r="H49" s="30"/>
    </row>
    <row r="50" ht="8.25" customHeight="1">
      <c r="A50" s="79"/>
      <c r="B50" s="80"/>
      <c r="C50" s="81"/>
      <c r="D50" s="82"/>
      <c r="E50" s="82"/>
      <c r="F50" s="83"/>
      <c r="G50" s="84"/>
      <c r="H50" s="85"/>
    </row>
    <row r="51">
      <c r="A51" s="59">
        <v>5.0</v>
      </c>
      <c r="B51" s="86" t="s">
        <v>63</v>
      </c>
      <c r="C51" s="10" t="s">
        <v>64</v>
      </c>
      <c r="D51" s="36">
        <v>44536.0</v>
      </c>
      <c r="E51" s="61">
        <v>44542.0</v>
      </c>
      <c r="F51" s="38">
        <f>SUM(F52:F56)</f>
        <v>20</v>
      </c>
      <c r="G51" s="69" t="s">
        <v>10</v>
      </c>
      <c r="H51" s="15"/>
    </row>
    <row r="52">
      <c r="A52" s="40"/>
      <c r="B52" s="40"/>
      <c r="C52" s="62" t="s">
        <v>65</v>
      </c>
      <c r="D52" s="45">
        <v>44536.0</v>
      </c>
      <c r="E52" s="67">
        <v>44537.0</v>
      </c>
      <c r="F52" s="47">
        <v>2.0</v>
      </c>
      <c r="G52" s="68" t="s">
        <v>14</v>
      </c>
      <c r="H52" s="22"/>
    </row>
    <row r="53">
      <c r="A53" s="40"/>
      <c r="B53" s="40"/>
      <c r="C53" s="62" t="s">
        <v>66</v>
      </c>
      <c r="D53" s="45">
        <v>44536.0</v>
      </c>
      <c r="E53" s="67">
        <v>44539.0</v>
      </c>
      <c r="F53" s="47">
        <v>8.0</v>
      </c>
      <c r="G53" s="68" t="s">
        <v>34</v>
      </c>
      <c r="H53" s="22"/>
    </row>
    <row r="54">
      <c r="A54" s="40"/>
      <c r="B54" s="40"/>
      <c r="C54" s="62" t="s">
        <v>67</v>
      </c>
      <c r="D54" s="45">
        <v>44537.0</v>
      </c>
      <c r="E54" s="67">
        <v>44539.0</v>
      </c>
      <c r="F54" s="47">
        <v>4.0</v>
      </c>
      <c r="G54" s="68" t="s">
        <v>14</v>
      </c>
      <c r="H54" s="22"/>
    </row>
    <row r="55">
      <c r="A55" s="40"/>
      <c r="B55" s="40"/>
      <c r="C55" s="62" t="s">
        <v>68</v>
      </c>
      <c r="D55" s="45">
        <v>44539.0</v>
      </c>
      <c r="E55" s="67">
        <v>44541.0</v>
      </c>
      <c r="F55" s="47">
        <v>4.0</v>
      </c>
      <c r="G55" s="68" t="s">
        <v>24</v>
      </c>
      <c r="H55" s="22"/>
    </row>
    <row r="56">
      <c r="A56" s="51"/>
      <c r="B56" s="51"/>
      <c r="C56" s="71" t="s">
        <v>69</v>
      </c>
      <c r="D56" s="52">
        <v>44541.0</v>
      </c>
      <c r="E56" s="72">
        <v>44542.0</v>
      </c>
      <c r="F56" s="53">
        <v>2.0</v>
      </c>
      <c r="G56" s="73" t="s">
        <v>14</v>
      </c>
      <c r="H56" s="30"/>
    </row>
    <row r="57" ht="6.0" customHeight="1">
      <c r="A57" s="87"/>
      <c r="B57" s="88"/>
      <c r="C57" s="88"/>
      <c r="D57" s="88"/>
      <c r="E57" s="88"/>
      <c r="F57" s="88"/>
      <c r="G57" s="88"/>
      <c r="H57" s="89"/>
    </row>
  </sheetData>
  <mergeCells count="10">
    <mergeCell ref="A46:A49"/>
    <mergeCell ref="A51:A56"/>
    <mergeCell ref="B51:B56"/>
    <mergeCell ref="A2:A16"/>
    <mergeCell ref="B2:B16"/>
    <mergeCell ref="A18:A29"/>
    <mergeCell ref="B18:B29"/>
    <mergeCell ref="A31:A44"/>
    <mergeCell ref="B31:B44"/>
    <mergeCell ref="B46:B49"/>
  </mergeCells>
  <drawing r:id="rId1"/>
</worksheet>
</file>